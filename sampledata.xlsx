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IL\Downloads\"/>
    </mc:Choice>
  </mc:AlternateContent>
  <xr:revisionPtr revIDLastSave="0" documentId="13_ncr:1_{F04644B9-9314-4E40-A2D8-A706CDC666D8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ales Data" sheetId="1" r:id="rId1"/>
    <sheet name="Sheet1" sheetId="2" r:id="rId2"/>
    <sheet name="Sheet2" sheetId="3" r:id="rId3"/>
  </sheets>
  <definedNames>
    <definedName name="_xlnm._FilterDatabase" localSheetId="0" hidden="1">'Sales Data'!$A$1:$J$27</definedName>
    <definedName name="_xlnm.Criteria" localSheetId="1">Sheet1!$A$1</definedName>
    <definedName name="_xlnm.Extract" localSheetId="1">Sheet1!$A$1:$J$1</definedName>
  </definedNames>
  <calcPr calcId="191029"/>
</workbook>
</file>

<file path=xl/calcChain.xml><?xml version="1.0" encoding="utf-8"?>
<calcChain xmlns="http://schemas.openxmlformats.org/spreadsheetml/2006/main">
  <c r="E26" i="3" l="1"/>
  <c r="F26" i="3"/>
  <c r="G26" i="3"/>
  <c r="G27" i="3"/>
</calcChain>
</file>

<file path=xl/sharedStrings.xml><?xml version="1.0" encoding="utf-8"?>
<sst xmlns="http://schemas.openxmlformats.org/spreadsheetml/2006/main" count="300" uniqueCount="43">
  <si>
    <t>Order ID</t>
  </si>
  <si>
    <t>Date</t>
  </si>
  <si>
    <t>Product</t>
  </si>
  <si>
    <t>Category</t>
  </si>
  <si>
    <t>Quantity</t>
  </si>
  <si>
    <t>Unit Price</t>
  </si>
  <si>
    <t>Total Sales</t>
  </si>
  <si>
    <t>Customer</t>
  </si>
  <si>
    <t>Region</t>
  </si>
  <si>
    <t>Payment Method</t>
  </si>
  <si>
    <t>Keyboard</t>
  </si>
  <si>
    <t>Electronics</t>
  </si>
  <si>
    <t>Tech Solutions</t>
  </si>
  <si>
    <t>East</t>
  </si>
  <si>
    <t>Wire Transfer</t>
  </si>
  <si>
    <t>Headphones</t>
  </si>
  <si>
    <t>South</t>
  </si>
  <si>
    <t>Check</t>
  </si>
  <si>
    <t>Desk Lamp</t>
  </si>
  <si>
    <t>Acme Corp</t>
  </si>
  <si>
    <t>Central</t>
  </si>
  <si>
    <t>Phone Stand</t>
  </si>
  <si>
    <t>Computing</t>
  </si>
  <si>
    <t>Enterprise Ltd</t>
  </si>
  <si>
    <t>West</t>
  </si>
  <si>
    <t>Credit Card</t>
  </si>
  <si>
    <t>Global Industries</t>
  </si>
  <si>
    <t>North</t>
  </si>
  <si>
    <t>Monitor</t>
  </si>
  <si>
    <t>Peripherals</t>
  </si>
  <si>
    <t>StartUp Inc</t>
  </si>
  <si>
    <t>PayPal</t>
  </si>
  <si>
    <t>Webcam</t>
  </si>
  <si>
    <t>Mega Store</t>
  </si>
  <si>
    <t>Digital Agency</t>
  </si>
  <si>
    <t>Mouse</t>
  </si>
  <si>
    <t>Accessories</t>
  </si>
  <si>
    <t>USB Cable</t>
  </si>
  <si>
    <t>Screen Protector</t>
  </si>
  <si>
    <t>Office</t>
  </si>
  <si>
    <t>ACH</t>
  </si>
  <si>
    <t>Small Business Co</t>
  </si>
  <si>
    <t>Laptop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</si>
</sst>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:mm:ss"/>
    <numFmt numFmtId="165" formatCode="mm/dd/yyyy"/>
    <numFmt numFmtId="166" formatCode="\$#,##0.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i/>
      <sz val="11"/>
      <color rgb="FFFFFFFF"/>
      <name val="Calibri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right"/>
    </xf>
    <xf numFmtId="166" fontId="0" fillId="0" borderId="1" xfId="0" applyNumberFormat="1" applyBorder="1" applyAlignment="1">
      <alignment horizontal="right"/>
    </xf>
    <xf numFmtId="164" fontId="0" fillId="0" borderId="1" xfId="0" applyNumberFormat="1" applyBorder="1"/>
    <xf numFmtId="165" fontId="0" fillId="0" borderId="0" xfId="0" applyNumberFormat="1" applyAlignment="1">
      <alignment horizontal="center"/>
    </xf>
    <xf numFmtId="166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/>
  </cellXfs>
  <cellStyles count="1"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ill>
        <patternFill>
          <bgColor theme="7" tint="0.59996337778862885"/>
        </patternFill>
      </fill>
    </dxf>
    <dxf>
      <fill>
        <patternFill>
          <bgColor theme="3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zoomScale="73" workbookViewId="0">
      <selection activeCell="H31" sqref="H31"/>
    </sheetView>
  </sheetViews>
  <sheetFormatPr defaultRowHeight="14.4" x14ac:dyDescent="0.3"/>
  <cols>
    <col min="1" max="2" width="12" customWidth="1"/>
    <col min="3" max="4" width="15" customWidth="1"/>
    <col min="5" max="5" width="10" customWidth="1"/>
    <col min="6" max="7" width="12" customWidth="1"/>
    <col min="8" max="8" width="18" customWidth="1"/>
    <col min="9" max="9" width="10" customWidth="1"/>
    <col min="10" max="10" width="1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10001</v>
      </c>
      <c r="B2" s="3">
        <v>46152.586880763767</v>
      </c>
      <c r="C2" s="2" t="s">
        <v>10</v>
      </c>
      <c r="D2" s="2" t="s">
        <v>11</v>
      </c>
      <c r="E2" s="4">
        <v>7</v>
      </c>
      <c r="F2" s="5">
        <v>274.05</v>
      </c>
      <c r="G2" s="5">
        <v>1918.35</v>
      </c>
      <c r="H2" s="2" t="s">
        <v>12</v>
      </c>
      <c r="I2" s="2" t="s">
        <v>13</v>
      </c>
      <c r="J2" s="2" t="s">
        <v>14</v>
      </c>
    </row>
    <row r="3" spans="1:10" x14ac:dyDescent="0.3">
      <c r="A3" s="2">
        <v>10002</v>
      </c>
      <c r="B3" s="3">
        <v>46153.586880763767</v>
      </c>
      <c r="C3" s="2"/>
      <c r="D3" s="2" t="s">
        <v>11</v>
      </c>
      <c r="E3" s="4">
        <v>8</v>
      </c>
      <c r="F3" s="5">
        <v>198.8</v>
      </c>
      <c r="G3" s="5">
        <v>1590.4</v>
      </c>
      <c r="H3" s="2" t="s">
        <v>12</v>
      </c>
      <c r="I3" s="2" t="s">
        <v>16</v>
      </c>
      <c r="J3" s="2" t="s">
        <v>17</v>
      </c>
    </row>
    <row r="4" spans="1:10" x14ac:dyDescent="0.3">
      <c r="A4" s="2">
        <v>10003</v>
      </c>
      <c r="B4" s="3">
        <v>46156.586880763767</v>
      </c>
      <c r="C4" s="2" t="s">
        <v>18</v>
      </c>
      <c r="D4" s="2" t="s">
        <v>11</v>
      </c>
      <c r="E4" s="4">
        <v>5</v>
      </c>
      <c r="F4" s="5">
        <v>381.88</v>
      </c>
      <c r="G4" s="5"/>
      <c r="H4" s="2" t="s">
        <v>19</v>
      </c>
      <c r="I4" s="2"/>
      <c r="J4" s="2" t="s">
        <v>17</v>
      </c>
    </row>
    <row r="5" spans="1:10" x14ac:dyDescent="0.3">
      <c r="A5" s="2">
        <v>10004</v>
      </c>
      <c r="B5" s="3">
        <v>46159.586880763767</v>
      </c>
      <c r="C5" s="2" t="s">
        <v>21</v>
      </c>
      <c r="D5" s="2" t="s">
        <v>22</v>
      </c>
      <c r="E5" s="4">
        <v>3</v>
      </c>
      <c r="F5" s="5">
        <v>159.11000000000001</v>
      </c>
      <c r="G5" s="5">
        <v>477.33</v>
      </c>
      <c r="H5" s="2" t="s">
        <v>23</v>
      </c>
      <c r="I5" s="2" t="s">
        <v>24</v>
      </c>
      <c r="J5" s="2"/>
    </row>
    <row r="6" spans="1:10" x14ac:dyDescent="0.3">
      <c r="A6" s="2">
        <v>10005</v>
      </c>
      <c r="B6" s="3">
        <v>46161.586880763767</v>
      </c>
      <c r="C6" s="2" t="s">
        <v>21</v>
      </c>
      <c r="D6" s="2" t="s">
        <v>11</v>
      </c>
      <c r="E6" s="4">
        <v>8</v>
      </c>
      <c r="F6" s="5">
        <v>153.82</v>
      </c>
      <c r="G6" s="5">
        <v>1230.56</v>
      </c>
      <c r="H6" s="2" t="s">
        <v>26</v>
      </c>
      <c r="I6" s="2" t="s">
        <v>27</v>
      </c>
      <c r="J6" s="2" t="s">
        <v>25</v>
      </c>
    </row>
    <row r="7" spans="1:10" x14ac:dyDescent="0.3">
      <c r="A7" s="2">
        <v>10006</v>
      </c>
      <c r="B7" s="3">
        <v>46161.586880763767</v>
      </c>
      <c r="C7" s="2" t="s">
        <v>28</v>
      </c>
      <c r="D7" s="2" t="s">
        <v>29</v>
      </c>
      <c r="E7" s="4">
        <v>1</v>
      </c>
      <c r="F7" s="5">
        <v>109.16</v>
      </c>
      <c r="G7" s="5">
        <v>109.16</v>
      </c>
      <c r="H7" s="2" t="s">
        <v>30</v>
      </c>
      <c r="I7" s="2" t="s">
        <v>27</v>
      </c>
      <c r="J7" s="2" t="s">
        <v>31</v>
      </c>
    </row>
    <row r="8" spans="1:10" x14ac:dyDescent="0.3">
      <c r="A8" s="2">
        <v>10007</v>
      </c>
      <c r="B8" s="3">
        <v>46164.586880763767</v>
      </c>
      <c r="C8" s="2" t="s">
        <v>28</v>
      </c>
      <c r="D8" s="2" t="s">
        <v>29</v>
      </c>
      <c r="E8" s="4">
        <v>7</v>
      </c>
      <c r="F8" s="5">
        <v>19.45</v>
      </c>
      <c r="G8" s="5">
        <v>136.15</v>
      </c>
      <c r="H8" s="2" t="s">
        <v>26</v>
      </c>
      <c r="I8" s="2" t="s">
        <v>13</v>
      </c>
      <c r="J8" s="2" t="s">
        <v>14</v>
      </c>
    </row>
    <row r="9" spans="1:10" x14ac:dyDescent="0.3">
      <c r="A9" s="2">
        <v>10008</v>
      </c>
      <c r="B9" s="3">
        <v>46165.586880763767</v>
      </c>
      <c r="C9" s="2" t="s">
        <v>32</v>
      </c>
      <c r="D9" s="2" t="s">
        <v>22</v>
      </c>
      <c r="E9" s="4">
        <v>5</v>
      </c>
      <c r="F9" s="5">
        <v>138.07</v>
      </c>
      <c r="G9" s="5">
        <v>690.34999999999991</v>
      </c>
      <c r="H9" s="2" t="s">
        <v>33</v>
      </c>
      <c r="I9" s="2" t="s">
        <v>20</v>
      </c>
      <c r="J9" s="2" t="s">
        <v>17</v>
      </c>
    </row>
    <row r="10" spans="1:10" x14ac:dyDescent="0.3">
      <c r="A10" s="2">
        <v>10009</v>
      </c>
      <c r="B10" s="3">
        <v>46167.586880763767</v>
      </c>
      <c r="C10" s="2"/>
      <c r="D10" s="2"/>
      <c r="E10" s="4">
        <v>3</v>
      </c>
      <c r="F10" s="5">
        <v>87.64</v>
      </c>
      <c r="G10" s="5">
        <v>262.92</v>
      </c>
      <c r="H10" s="2" t="s">
        <v>34</v>
      </c>
      <c r="I10" s="2" t="s">
        <v>13</v>
      </c>
      <c r="J10" s="2" t="s">
        <v>31</v>
      </c>
    </row>
    <row r="11" spans="1:10" x14ac:dyDescent="0.3">
      <c r="A11" s="2">
        <v>10010</v>
      </c>
      <c r="B11" s="3">
        <v>46175.586880763767</v>
      </c>
      <c r="C11" s="2" t="s">
        <v>35</v>
      </c>
      <c r="D11" s="2" t="s">
        <v>36</v>
      </c>
      <c r="E11" s="4">
        <v>4</v>
      </c>
      <c r="F11" s="5">
        <v>121.46</v>
      </c>
      <c r="G11" s="5"/>
      <c r="H11" s="2" t="s">
        <v>26</v>
      </c>
      <c r="I11" s="2" t="s">
        <v>13</v>
      </c>
      <c r="J11" s="2" t="s">
        <v>17</v>
      </c>
    </row>
    <row r="12" spans="1:10" x14ac:dyDescent="0.3">
      <c r="A12" s="2">
        <v>10011</v>
      </c>
      <c r="B12" s="3">
        <v>46177.586880763767</v>
      </c>
      <c r="C12" s="2" t="s">
        <v>28</v>
      </c>
      <c r="D12" s="2" t="s">
        <v>11</v>
      </c>
      <c r="E12" s="4">
        <v>10</v>
      </c>
      <c r="F12" s="5">
        <v>117.33</v>
      </c>
      <c r="G12" s="5">
        <v>1173.3</v>
      </c>
      <c r="H12" s="2" t="s">
        <v>19</v>
      </c>
      <c r="I12" s="2" t="s">
        <v>16</v>
      </c>
      <c r="J12" s="2" t="s">
        <v>14</v>
      </c>
    </row>
    <row r="13" spans="1:10" x14ac:dyDescent="0.3">
      <c r="A13" s="2">
        <v>10012</v>
      </c>
      <c r="B13" s="3">
        <v>46178.586880763767</v>
      </c>
      <c r="C13" s="2" t="s">
        <v>37</v>
      </c>
      <c r="D13" s="2" t="s">
        <v>22</v>
      </c>
      <c r="E13" s="4">
        <v>3</v>
      </c>
      <c r="F13" s="5">
        <v>264.45999999999998</v>
      </c>
      <c r="G13" s="5">
        <v>793.37999999999988</v>
      </c>
      <c r="H13" s="2" t="s">
        <v>30</v>
      </c>
      <c r="I13" s="2" t="s">
        <v>27</v>
      </c>
      <c r="J13" s="2" t="s">
        <v>14</v>
      </c>
    </row>
    <row r="14" spans="1:10" x14ac:dyDescent="0.3">
      <c r="A14" s="2">
        <v>10013</v>
      </c>
      <c r="B14" s="3">
        <v>46180.586880763767</v>
      </c>
      <c r="C14" s="2" t="s">
        <v>35</v>
      </c>
      <c r="D14" s="2" t="s">
        <v>22</v>
      </c>
      <c r="E14" s="4">
        <v>2</v>
      </c>
      <c r="F14" s="5">
        <v>469.42</v>
      </c>
      <c r="G14" s="5">
        <v>938.84</v>
      </c>
      <c r="H14" s="2" t="s">
        <v>33</v>
      </c>
      <c r="I14" s="2" t="s">
        <v>27</v>
      </c>
      <c r="J14" s="2" t="s">
        <v>31</v>
      </c>
    </row>
    <row r="15" spans="1:10" x14ac:dyDescent="0.3">
      <c r="A15" s="2">
        <v>10014</v>
      </c>
      <c r="B15" s="3">
        <v>46180.586880763767</v>
      </c>
      <c r="C15" s="2" t="s">
        <v>38</v>
      </c>
      <c r="D15" s="2" t="s">
        <v>36</v>
      </c>
      <c r="E15" s="4">
        <v>9</v>
      </c>
      <c r="F15" s="5">
        <v>119.58</v>
      </c>
      <c r="G15" s="5">
        <v>1076.22</v>
      </c>
      <c r="H15" s="2" t="s">
        <v>33</v>
      </c>
      <c r="I15" s="2" t="s">
        <v>20</v>
      </c>
      <c r="J15" s="2" t="s">
        <v>14</v>
      </c>
    </row>
    <row r="16" spans="1:10" x14ac:dyDescent="0.3">
      <c r="A16" s="2">
        <v>10015</v>
      </c>
      <c r="B16" s="3">
        <v>46181.586880763767</v>
      </c>
      <c r="C16" s="2" t="s">
        <v>18</v>
      </c>
      <c r="D16" s="2" t="s">
        <v>29</v>
      </c>
      <c r="E16" s="4">
        <v>8</v>
      </c>
      <c r="F16" s="5">
        <v>411.29</v>
      </c>
      <c r="G16" s="5">
        <v>3290.32</v>
      </c>
      <c r="H16" s="2" t="s">
        <v>12</v>
      </c>
      <c r="I16" s="2" t="s">
        <v>16</v>
      </c>
      <c r="J16" s="2" t="s">
        <v>14</v>
      </c>
    </row>
    <row r="17" spans="1:10" x14ac:dyDescent="0.3">
      <c r="A17" s="2"/>
      <c r="B17" s="6">
        <v>46181.586880763767</v>
      </c>
      <c r="C17" s="2" t="s">
        <v>32</v>
      </c>
      <c r="D17" s="2" t="s">
        <v>39</v>
      </c>
      <c r="E17" s="4">
        <v>4</v>
      </c>
      <c r="F17" s="5">
        <v>216.28</v>
      </c>
      <c r="G17" s="5">
        <v>865.12</v>
      </c>
      <c r="H17" s="2" t="s">
        <v>12</v>
      </c>
      <c r="I17" s="2" t="s">
        <v>16</v>
      </c>
      <c r="J17" s="2" t="s">
        <v>25</v>
      </c>
    </row>
    <row r="18" spans="1:10" x14ac:dyDescent="0.3">
      <c r="A18" s="2">
        <v>10017</v>
      </c>
      <c r="B18" s="3">
        <v>46182.586880763767</v>
      </c>
      <c r="C18" s="2" t="s">
        <v>32</v>
      </c>
      <c r="D18" s="2" t="s">
        <v>39</v>
      </c>
      <c r="E18" s="4">
        <v>1</v>
      </c>
      <c r="F18" s="5">
        <v>388.96</v>
      </c>
      <c r="G18" s="5">
        <v>388.96</v>
      </c>
      <c r="H18" s="2" t="s">
        <v>19</v>
      </c>
      <c r="I18" s="2" t="s">
        <v>24</v>
      </c>
      <c r="J18" s="2" t="s">
        <v>25</v>
      </c>
    </row>
    <row r="19" spans="1:10" x14ac:dyDescent="0.3">
      <c r="A19" s="2">
        <v>10018</v>
      </c>
      <c r="B19" s="3">
        <v>46183.586880763767</v>
      </c>
      <c r="C19" s="2" t="s">
        <v>15</v>
      </c>
      <c r="D19" s="2" t="s">
        <v>39</v>
      </c>
      <c r="E19" s="4">
        <v>4</v>
      </c>
      <c r="F19" s="5">
        <v>175.05</v>
      </c>
      <c r="G19" s="5">
        <v>700.2</v>
      </c>
      <c r="H19" s="2" t="s">
        <v>30</v>
      </c>
      <c r="I19" s="2" t="s">
        <v>13</v>
      </c>
      <c r="J19" s="2" t="s">
        <v>40</v>
      </c>
    </row>
    <row r="20" spans="1:10" x14ac:dyDescent="0.3">
      <c r="A20" s="2">
        <v>10019</v>
      </c>
      <c r="B20" s="3">
        <v>46188.586880763767</v>
      </c>
      <c r="C20" s="2" t="s">
        <v>10</v>
      </c>
      <c r="D20" s="2" t="s">
        <v>29</v>
      </c>
      <c r="E20" s="4">
        <v>8</v>
      </c>
      <c r="F20" s="5">
        <v>40.64</v>
      </c>
      <c r="G20" s="5">
        <v>325.12</v>
      </c>
      <c r="H20" s="2" t="s">
        <v>41</v>
      </c>
      <c r="I20" s="2" t="s">
        <v>16</v>
      </c>
      <c r="J20" s="2" t="s">
        <v>17</v>
      </c>
    </row>
    <row r="21" spans="1:10" x14ac:dyDescent="0.3">
      <c r="A21" s="2">
        <v>10020</v>
      </c>
      <c r="B21" s="3">
        <v>46189.586880763767</v>
      </c>
      <c r="C21" s="2" t="s">
        <v>21</v>
      </c>
      <c r="D21" s="2" t="s">
        <v>39</v>
      </c>
      <c r="E21" s="4">
        <v>3</v>
      </c>
      <c r="F21" s="5">
        <v>407.64</v>
      </c>
      <c r="G21" s="5">
        <v>1222.92</v>
      </c>
      <c r="H21" s="2" t="s">
        <v>12</v>
      </c>
      <c r="I21" s="2" t="s">
        <v>20</v>
      </c>
      <c r="J21" s="2" t="s">
        <v>25</v>
      </c>
    </row>
    <row r="22" spans="1:10" x14ac:dyDescent="0.3">
      <c r="A22" s="2">
        <v>10021</v>
      </c>
      <c r="B22" s="3">
        <v>46192.586880763767</v>
      </c>
      <c r="C22" s="2" t="s">
        <v>28</v>
      </c>
      <c r="D22" s="2" t="s">
        <v>39</v>
      </c>
      <c r="E22" s="4">
        <v>4</v>
      </c>
      <c r="F22" s="5">
        <v>295.32</v>
      </c>
      <c r="G22" s="5">
        <v>1181.28</v>
      </c>
      <c r="H22" s="2" t="s">
        <v>41</v>
      </c>
      <c r="I22" s="2" t="s">
        <v>20</v>
      </c>
      <c r="J22" s="2" t="s">
        <v>17</v>
      </c>
    </row>
    <row r="23" spans="1:10" x14ac:dyDescent="0.3">
      <c r="A23" s="2">
        <v>10022</v>
      </c>
      <c r="B23" s="3">
        <v>46193.586880763767</v>
      </c>
      <c r="C23" s="2" t="s">
        <v>32</v>
      </c>
      <c r="D23" s="2" t="s">
        <v>22</v>
      </c>
      <c r="E23" s="4">
        <v>8</v>
      </c>
      <c r="F23" s="5">
        <v>332.76</v>
      </c>
      <c r="G23" s="5">
        <v>2662.08</v>
      </c>
      <c r="H23" s="2" t="s">
        <v>41</v>
      </c>
      <c r="I23" s="2" t="s">
        <v>27</v>
      </c>
      <c r="J23" s="2" t="s">
        <v>14</v>
      </c>
    </row>
    <row r="24" spans="1:10" x14ac:dyDescent="0.3">
      <c r="A24" s="2">
        <v>10023</v>
      </c>
      <c r="B24" s="3">
        <v>46200.586880763767</v>
      </c>
      <c r="C24" s="2" t="s">
        <v>42</v>
      </c>
      <c r="D24" s="2" t="s">
        <v>39</v>
      </c>
      <c r="E24" s="4">
        <v>4</v>
      </c>
      <c r="F24" s="5">
        <v>39.39</v>
      </c>
      <c r="G24" s="5">
        <v>157.56</v>
      </c>
      <c r="H24" s="2" t="s">
        <v>34</v>
      </c>
      <c r="I24" s="2" t="s">
        <v>13</v>
      </c>
      <c r="J24" s="2" t="s">
        <v>40</v>
      </c>
    </row>
    <row r="25" spans="1:10" x14ac:dyDescent="0.3">
      <c r="A25" s="2">
        <v>10024</v>
      </c>
      <c r="B25" s="3">
        <v>46200.586880763767</v>
      </c>
      <c r="C25" s="2" t="s">
        <v>28</v>
      </c>
      <c r="D25" s="2" t="s">
        <v>11</v>
      </c>
      <c r="E25" s="4">
        <v>3</v>
      </c>
      <c r="F25" s="5">
        <v>400.77</v>
      </c>
      <c r="G25" s="5">
        <v>1202.31</v>
      </c>
      <c r="H25" s="2" t="s">
        <v>41</v>
      </c>
      <c r="I25" s="2" t="s">
        <v>24</v>
      </c>
      <c r="J25" s="2" t="s">
        <v>40</v>
      </c>
    </row>
    <row r="26" spans="1:10" x14ac:dyDescent="0.3">
      <c r="B26" s="7"/>
      <c r="F26" s="8"/>
      <c r="G26" s="8"/>
    </row>
    <row r="27" spans="1:10" x14ac:dyDescent="0.3">
      <c r="G27" s="8"/>
    </row>
  </sheetData>
  <sortState xmlns:xlrd2="http://schemas.microsoft.com/office/spreadsheetml/2017/richdata2" ref="B2:B26">
    <sortCondition ref="B1:B26"/>
  </sortState>
  <conditionalFormatting sqref="A1:J27">
    <cfRule type="expression" dxfId="4" priority="1">
      <formula>$I1="South"</formula>
    </cfRule>
  </conditionalFormatting>
  <conditionalFormatting sqref="I1:I1048576">
    <cfRule type="containsText" dxfId="3" priority="2" operator="containsText" text="central">
      <formula>NOT(ISERROR(SEARCH("central",I1)))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1943B-D95D-4E9C-91F0-C092AF41D528}">
  <dimension ref="A1:J9"/>
  <sheetViews>
    <sheetView zoomScale="129" workbookViewId="0">
      <selection activeCell="E3" sqref="A1:J9"/>
    </sheetView>
  </sheetViews>
  <sheetFormatPr defaultRowHeight="14.4" x14ac:dyDescent="0.3"/>
  <cols>
    <col min="1" max="1" width="9" bestFit="1" customWidth="1"/>
    <col min="2" max="2" width="11.21875" bestFit="1" customWidth="1"/>
    <col min="5" max="6" width="9" bestFit="1" customWidth="1"/>
    <col min="7" max="7" width="9.109375" bestFit="1" customWidth="1"/>
    <col min="8" max="8" width="15.21875" bestFit="1" customWidth="1"/>
    <col min="10" max="10" width="12.109375" bestFit="1" customWidth="1"/>
  </cols>
  <sheetData>
    <row r="1" spans="1:10" x14ac:dyDescent="0.3">
      <c r="A1" s="2">
        <v>10007</v>
      </c>
      <c r="B1" s="3">
        <v>46164.586880763767</v>
      </c>
      <c r="C1" s="2" t="s">
        <v>28</v>
      </c>
      <c r="D1" s="2" t="s">
        <v>29</v>
      </c>
      <c r="E1" s="4">
        <v>7</v>
      </c>
      <c r="F1" s="5">
        <v>19.45</v>
      </c>
      <c r="G1" s="5">
        <v>136.15</v>
      </c>
      <c r="H1" s="2" t="s">
        <v>26</v>
      </c>
      <c r="I1" s="2" t="s">
        <v>13</v>
      </c>
      <c r="J1" s="2" t="s">
        <v>14</v>
      </c>
    </row>
    <row r="2" spans="1:10" x14ac:dyDescent="0.3">
      <c r="A2" s="2">
        <v>10008</v>
      </c>
      <c r="B2" s="3">
        <v>46165.586880763767</v>
      </c>
      <c r="C2" s="2" t="s">
        <v>32</v>
      </c>
      <c r="D2" s="2" t="s">
        <v>29</v>
      </c>
      <c r="E2" s="4">
        <v>5</v>
      </c>
      <c r="F2" s="5">
        <v>138.07</v>
      </c>
      <c r="G2" s="5">
        <v>690.34999999999991</v>
      </c>
      <c r="H2" s="2" t="s">
        <v>33</v>
      </c>
      <c r="I2" s="2" t="s">
        <v>20</v>
      </c>
      <c r="J2" s="2" t="s">
        <v>17</v>
      </c>
    </row>
    <row r="3" spans="1:10" x14ac:dyDescent="0.3">
      <c r="A3" s="2">
        <v>10009</v>
      </c>
      <c r="B3" s="3">
        <v>46167.586880763767</v>
      </c>
      <c r="C3" s="2" t="s">
        <v>18</v>
      </c>
      <c r="D3" s="2" t="s">
        <v>29</v>
      </c>
      <c r="E3" s="4">
        <v>3</v>
      </c>
      <c r="F3" s="5">
        <v>87.64</v>
      </c>
      <c r="G3" s="5">
        <v>262.92</v>
      </c>
      <c r="H3" s="2" t="s">
        <v>34</v>
      </c>
      <c r="I3" s="2" t="s">
        <v>13</v>
      </c>
      <c r="J3" s="2" t="s">
        <v>31</v>
      </c>
    </row>
    <row r="4" spans="1:10" x14ac:dyDescent="0.3">
      <c r="A4" s="2">
        <v>10003</v>
      </c>
      <c r="B4" s="3">
        <v>46156.586880763767</v>
      </c>
      <c r="C4" s="2" t="s">
        <v>18</v>
      </c>
      <c r="D4" s="2" t="s">
        <v>11</v>
      </c>
      <c r="E4" s="4">
        <v>5</v>
      </c>
      <c r="F4" s="5">
        <v>381.88</v>
      </c>
      <c r="G4" s="5">
        <v>1909.4</v>
      </c>
      <c r="H4" s="2" t="s">
        <v>19</v>
      </c>
      <c r="I4" s="2" t="s">
        <v>20</v>
      </c>
      <c r="J4" s="2" t="s">
        <v>17</v>
      </c>
    </row>
    <row r="5" spans="1:10" x14ac:dyDescent="0.3">
      <c r="A5" s="2">
        <v>10004</v>
      </c>
      <c r="B5" s="3">
        <v>46159.586880763767</v>
      </c>
      <c r="C5" s="2" t="s">
        <v>21</v>
      </c>
      <c r="D5" s="2" t="s">
        <v>11</v>
      </c>
      <c r="E5" s="4">
        <v>3</v>
      </c>
      <c r="F5" s="5">
        <v>159.11000000000001</v>
      </c>
      <c r="G5" s="5">
        <v>477.33</v>
      </c>
      <c r="H5" s="2" t="s">
        <v>23</v>
      </c>
      <c r="I5" s="2" t="s">
        <v>24</v>
      </c>
      <c r="J5" s="2" t="s">
        <v>25</v>
      </c>
    </row>
    <row r="6" spans="1:10" x14ac:dyDescent="0.3">
      <c r="A6" s="2">
        <v>10005</v>
      </c>
      <c r="B6" s="3">
        <v>46161.586880763767</v>
      </c>
      <c r="C6" s="2" t="s">
        <v>21</v>
      </c>
      <c r="D6" s="2" t="s">
        <v>11</v>
      </c>
      <c r="E6" s="4">
        <v>8</v>
      </c>
      <c r="F6" s="5">
        <v>153.82</v>
      </c>
      <c r="G6" s="5">
        <v>1230.56</v>
      </c>
      <c r="H6" s="2" t="s">
        <v>26</v>
      </c>
      <c r="I6" s="2" t="s">
        <v>27</v>
      </c>
      <c r="J6" s="2" t="s">
        <v>25</v>
      </c>
    </row>
    <row r="7" spans="1:10" x14ac:dyDescent="0.3">
      <c r="A7" s="2">
        <v>10006</v>
      </c>
      <c r="B7" s="3">
        <v>46161.586880763767</v>
      </c>
      <c r="C7" s="2" t="s">
        <v>28</v>
      </c>
      <c r="D7" s="2" t="s">
        <v>11</v>
      </c>
      <c r="E7" s="4">
        <v>1</v>
      </c>
      <c r="F7" s="5">
        <v>109.16</v>
      </c>
      <c r="G7" s="5">
        <v>109.16</v>
      </c>
      <c r="H7" s="2" t="s">
        <v>30</v>
      </c>
      <c r="I7" s="2" t="s">
        <v>27</v>
      </c>
      <c r="J7" s="2" t="s">
        <v>31</v>
      </c>
    </row>
    <row r="8" spans="1:10" x14ac:dyDescent="0.3">
      <c r="A8" s="2">
        <v>10001</v>
      </c>
      <c r="B8" s="3">
        <v>46152.586880763767</v>
      </c>
      <c r="C8" s="2" t="s">
        <v>10</v>
      </c>
      <c r="D8" s="2" t="s">
        <v>22</v>
      </c>
      <c r="E8" s="4">
        <v>7</v>
      </c>
      <c r="F8" s="5">
        <v>274.05</v>
      </c>
      <c r="G8" s="5">
        <v>1918.35</v>
      </c>
      <c r="H8" s="2" t="s">
        <v>12</v>
      </c>
      <c r="I8" s="2" t="s">
        <v>13</v>
      </c>
      <c r="J8" s="2" t="s">
        <v>14</v>
      </c>
    </row>
    <row r="9" spans="1:10" x14ac:dyDescent="0.3">
      <c r="A9" s="2">
        <v>10002</v>
      </c>
      <c r="B9" s="3">
        <v>46153.586880763767</v>
      </c>
      <c r="C9" s="2" t="s">
        <v>15</v>
      </c>
      <c r="D9" s="2" t="s">
        <v>22</v>
      </c>
      <c r="E9" s="4">
        <v>8</v>
      </c>
      <c r="F9" s="5">
        <v>198.8</v>
      </c>
      <c r="G9" s="5">
        <v>1590.4</v>
      </c>
      <c r="H9" s="2" t="s">
        <v>12</v>
      </c>
      <c r="I9" s="2" t="s">
        <v>16</v>
      </c>
      <c r="J9" s="2" t="s">
        <v>17</v>
      </c>
    </row>
  </sheetData>
  <sortState xmlns:xlrd2="http://schemas.microsoft.com/office/spreadsheetml/2017/richdata2" ref="A1:J10">
    <sortCondition descending="1" ref="D1:D10"/>
  </sortState>
  <conditionalFormatting sqref="A1:J9">
    <cfRule type="expression" dxfId="2" priority="1">
      <formula>$I1="East"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5EBDF-D6EF-471E-9551-A4E4EFB4AEBA}">
  <dimension ref="A1:J27"/>
  <sheetViews>
    <sheetView workbookViewId="0">
      <selection activeCell="J2" sqref="J1:J1048576"/>
    </sheetView>
  </sheetViews>
  <sheetFormatPr defaultRowHeight="14.4" x14ac:dyDescent="0.3"/>
  <cols>
    <col min="2" max="2" width="18.109375" bestFit="1" customWidth="1"/>
    <col min="3" max="3" width="14.77734375" bestFit="1" customWidth="1"/>
    <col min="4" max="4" width="10.44140625" bestFit="1" customWidth="1"/>
    <col min="7" max="7" width="9.88671875" bestFit="1" customWidth="1"/>
    <col min="8" max="8" width="15.44140625" bestFit="1" customWidth="1"/>
    <col min="10" max="10" width="15.88671875" style="11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9" t="s">
        <v>9</v>
      </c>
    </row>
    <row r="2" spans="1:10" x14ac:dyDescent="0.3">
      <c r="A2" s="2">
        <v>10001</v>
      </c>
      <c r="B2" s="3">
        <v>46152.586880763767</v>
      </c>
      <c r="C2" s="2" t="s">
        <v>10</v>
      </c>
      <c r="D2" s="2" t="s">
        <v>11</v>
      </c>
      <c r="E2" s="4">
        <v>7</v>
      </c>
      <c r="F2" s="5">
        <v>274.05</v>
      </c>
      <c r="G2" s="5">
        <v>1918.35</v>
      </c>
      <c r="H2" s="2" t="s">
        <v>12</v>
      </c>
      <c r="I2" s="2" t="s">
        <v>13</v>
      </c>
      <c r="J2" s="10" t="s">
        <v>14</v>
      </c>
    </row>
    <row r="3" spans="1:10" x14ac:dyDescent="0.3">
      <c r="A3" s="2">
        <v>10002</v>
      </c>
      <c r="B3" s="3">
        <v>46153.586880763767</v>
      </c>
      <c r="C3" s="2" t="s">
        <v>15</v>
      </c>
      <c r="D3" s="2" t="s">
        <v>11</v>
      </c>
      <c r="E3" s="4">
        <v>8</v>
      </c>
      <c r="F3" s="5">
        <v>198.8</v>
      </c>
      <c r="G3" s="5">
        <v>1590.4</v>
      </c>
      <c r="H3" s="2" t="s">
        <v>12</v>
      </c>
      <c r="I3" s="2" t="s">
        <v>16</v>
      </c>
      <c r="J3" s="10" t="s">
        <v>17</v>
      </c>
    </row>
    <row r="4" spans="1:10" x14ac:dyDescent="0.3">
      <c r="A4" s="2">
        <v>10003</v>
      </c>
      <c r="B4" s="3">
        <v>46156.586880763767</v>
      </c>
      <c r="C4" s="2" t="s">
        <v>18</v>
      </c>
      <c r="D4" s="2" t="s">
        <v>11</v>
      </c>
      <c r="E4" s="4">
        <v>5</v>
      </c>
      <c r="F4" s="5">
        <v>381.88</v>
      </c>
      <c r="G4" s="5">
        <v>1909.4</v>
      </c>
      <c r="H4" s="2" t="s">
        <v>19</v>
      </c>
      <c r="I4" s="2" t="s">
        <v>20</v>
      </c>
      <c r="J4" s="10" t="s">
        <v>17</v>
      </c>
    </row>
    <row r="5" spans="1:10" x14ac:dyDescent="0.3">
      <c r="A5" s="2">
        <v>10004</v>
      </c>
      <c r="B5" s="3">
        <v>46159.586880763767</v>
      </c>
      <c r="C5" s="2" t="s">
        <v>21</v>
      </c>
      <c r="D5" s="2" t="s">
        <v>22</v>
      </c>
      <c r="E5" s="4">
        <v>3</v>
      </c>
      <c r="F5" s="5">
        <v>159.11000000000001</v>
      </c>
      <c r="G5" s="5">
        <v>477.33</v>
      </c>
      <c r="H5" s="2" t="s">
        <v>23</v>
      </c>
      <c r="I5" s="2" t="s">
        <v>24</v>
      </c>
      <c r="J5" s="10" t="s">
        <v>25</v>
      </c>
    </row>
    <row r="6" spans="1:10" x14ac:dyDescent="0.3">
      <c r="A6" s="2">
        <v>10005</v>
      </c>
      <c r="B6" s="3">
        <v>46161.586880763767</v>
      </c>
      <c r="C6" s="2" t="s">
        <v>21</v>
      </c>
      <c r="D6" s="2" t="s">
        <v>11</v>
      </c>
      <c r="E6" s="4">
        <v>8</v>
      </c>
      <c r="F6" s="5">
        <v>153.82</v>
      </c>
      <c r="G6" s="5">
        <v>1230.56</v>
      </c>
      <c r="H6" s="2" t="s">
        <v>26</v>
      </c>
      <c r="I6" s="2" t="s">
        <v>27</v>
      </c>
      <c r="J6" s="10" t="s">
        <v>25</v>
      </c>
    </row>
    <row r="7" spans="1:10" x14ac:dyDescent="0.3">
      <c r="A7" s="2">
        <v>10006</v>
      </c>
      <c r="B7" s="3">
        <v>46161.586880763767</v>
      </c>
      <c r="C7" s="2" t="s">
        <v>28</v>
      </c>
      <c r="D7" s="2" t="s">
        <v>29</v>
      </c>
      <c r="E7" s="4">
        <v>1</v>
      </c>
      <c r="F7" s="5">
        <v>109.16</v>
      </c>
      <c r="G7" s="5">
        <v>109.16</v>
      </c>
      <c r="H7" s="2" t="s">
        <v>30</v>
      </c>
      <c r="I7" s="2" t="s">
        <v>27</v>
      </c>
      <c r="J7" s="10" t="s">
        <v>31</v>
      </c>
    </row>
    <row r="8" spans="1:10" x14ac:dyDescent="0.3">
      <c r="A8" s="2">
        <v>10007</v>
      </c>
      <c r="B8" s="3">
        <v>46164.586880763767</v>
      </c>
      <c r="C8" s="2" t="s">
        <v>28</v>
      </c>
      <c r="D8" s="2" t="s">
        <v>29</v>
      </c>
      <c r="E8" s="4">
        <v>7</v>
      </c>
      <c r="F8" s="5">
        <v>19.45</v>
      </c>
      <c r="G8" s="5">
        <v>136.15</v>
      </c>
      <c r="H8" s="2" t="s">
        <v>26</v>
      </c>
      <c r="I8" s="2" t="s">
        <v>13</v>
      </c>
      <c r="J8" s="10" t="s">
        <v>14</v>
      </c>
    </row>
    <row r="9" spans="1:10" x14ac:dyDescent="0.3">
      <c r="A9" s="2">
        <v>10008</v>
      </c>
      <c r="B9" s="3">
        <v>46165.586880763767</v>
      </c>
      <c r="C9" s="2" t="s">
        <v>32</v>
      </c>
      <c r="D9" s="2" t="s">
        <v>22</v>
      </c>
      <c r="E9" s="4">
        <v>5</v>
      </c>
      <c r="F9" s="5">
        <v>138.07</v>
      </c>
      <c r="G9" s="5">
        <v>690.34999999999991</v>
      </c>
      <c r="H9" s="2" t="s">
        <v>33</v>
      </c>
      <c r="I9" s="2" t="s">
        <v>20</v>
      </c>
      <c r="J9" s="10" t="s">
        <v>17</v>
      </c>
    </row>
    <row r="10" spans="1:10" x14ac:dyDescent="0.3">
      <c r="A10" s="2">
        <v>10009</v>
      </c>
      <c r="B10" s="3">
        <v>46167.586880763767</v>
      </c>
      <c r="C10" s="2" t="s">
        <v>18</v>
      </c>
      <c r="D10" s="2" t="s">
        <v>29</v>
      </c>
      <c r="E10" s="4">
        <v>3</v>
      </c>
      <c r="F10" s="5">
        <v>87.64</v>
      </c>
      <c r="G10" s="5">
        <v>262.92</v>
      </c>
      <c r="H10" s="2" t="s">
        <v>34</v>
      </c>
      <c r="I10" s="2" t="s">
        <v>13</v>
      </c>
      <c r="J10" s="10" t="s">
        <v>31</v>
      </c>
    </row>
    <row r="11" spans="1:10" x14ac:dyDescent="0.3">
      <c r="A11" s="2">
        <v>10010</v>
      </c>
      <c r="B11" s="3">
        <v>46175.586880763767</v>
      </c>
      <c r="C11" s="2" t="s">
        <v>35</v>
      </c>
      <c r="D11" s="2" t="s">
        <v>36</v>
      </c>
      <c r="E11" s="4">
        <v>4</v>
      </c>
      <c r="F11" s="5">
        <v>121.46</v>
      </c>
      <c r="G11" s="5">
        <v>485.84</v>
      </c>
      <c r="H11" s="2" t="s">
        <v>26</v>
      </c>
      <c r="I11" s="2" t="s">
        <v>13</v>
      </c>
      <c r="J11" s="10" t="s">
        <v>17</v>
      </c>
    </row>
    <row r="12" spans="1:10" x14ac:dyDescent="0.3">
      <c r="A12" s="2">
        <v>10011</v>
      </c>
      <c r="B12" s="3">
        <v>46177.586880763767</v>
      </c>
      <c r="C12" s="2" t="s">
        <v>28</v>
      </c>
      <c r="D12" s="2" t="s">
        <v>11</v>
      </c>
      <c r="E12" s="4">
        <v>10</v>
      </c>
      <c r="F12" s="5">
        <v>117.33</v>
      </c>
      <c r="G12" s="5">
        <v>1173.3</v>
      </c>
      <c r="H12" s="2" t="s">
        <v>19</v>
      </c>
      <c r="I12" s="2" t="s">
        <v>16</v>
      </c>
      <c r="J12" s="10" t="s">
        <v>14</v>
      </c>
    </row>
    <row r="13" spans="1:10" x14ac:dyDescent="0.3">
      <c r="A13" s="2">
        <v>10012</v>
      </c>
      <c r="B13" s="3">
        <v>46178.586880763767</v>
      </c>
      <c r="C13" s="2" t="s">
        <v>37</v>
      </c>
      <c r="D13" s="2" t="s">
        <v>22</v>
      </c>
      <c r="E13" s="4">
        <v>3</v>
      </c>
      <c r="F13" s="5">
        <v>264.45999999999998</v>
      </c>
      <c r="G13" s="5">
        <v>793.37999999999988</v>
      </c>
      <c r="H13" s="2" t="s">
        <v>30</v>
      </c>
      <c r="I13" s="2" t="s">
        <v>27</v>
      </c>
      <c r="J13" s="10" t="s">
        <v>14</v>
      </c>
    </row>
    <row r="14" spans="1:10" x14ac:dyDescent="0.3">
      <c r="A14" s="2">
        <v>10013</v>
      </c>
      <c r="B14" s="3">
        <v>46180.586880763767</v>
      </c>
      <c r="C14" s="2" t="s">
        <v>35</v>
      </c>
      <c r="D14" s="2" t="s">
        <v>22</v>
      </c>
      <c r="E14" s="4">
        <v>2</v>
      </c>
      <c r="F14" s="5">
        <v>469.42</v>
      </c>
      <c r="G14" s="5">
        <v>938.84</v>
      </c>
      <c r="H14" s="2" t="s">
        <v>33</v>
      </c>
      <c r="I14" s="2" t="s">
        <v>27</v>
      </c>
      <c r="J14" s="10" t="s">
        <v>31</v>
      </c>
    </row>
    <row r="15" spans="1:10" x14ac:dyDescent="0.3">
      <c r="A15" s="2">
        <v>10014</v>
      </c>
      <c r="B15" s="3">
        <v>46180.586880763767</v>
      </c>
      <c r="C15" s="2" t="s">
        <v>38</v>
      </c>
      <c r="D15" s="2" t="s">
        <v>36</v>
      </c>
      <c r="E15" s="4">
        <v>9</v>
      </c>
      <c r="F15" s="5">
        <v>119.58</v>
      </c>
      <c r="G15" s="5">
        <v>1076.22</v>
      </c>
      <c r="H15" s="2" t="s">
        <v>33</v>
      </c>
      <c r="I15" s="2" t="s">
        <v>20</v>
      </c>
      <c r="J15" s="10" t="s">
        <v>14</v>
      </c>
    </row>
    <row r="16" spans="1:10" x14ac:dyDescent="0.3">
      <c r="A16" s="2">
        <v>10015</v>
      </c>
      <c r="B16" s="3">
        <v>46181.586880763767</v>
      </c>
      <c r="C16" s="2" t="s">
        <v>18</v>
      </c>
      <c r="D16" s="2" t="s">
        <v>29</v>
      </c>
      <c r="E16" s="4">
        <v>8</v>
      </c>
      <c r="F16" s="5">
        <v>411.29</v>
      </c>
      <c r="G16" s="5">
        <v>3290.32</v>
      </c>
      <c r="H16" s="2" t="s">
        <v>12</v>
      </c>
      <c r="I16" s="2" t="s">
        <v>16</v>
      </c>
      <c r="J16" s="10" t="s">
        <v>14</v>
      </c>
    </row>
    <row r="17" spans="1:10" x14ac:dyDescent="0.3">
      <c r="A17" s="2">
        <v>10016</v>
      </c>
      <c r="B17" s="6">
        <v>46181.586880763767</v>
      </c>
      <c r="C17" s="2" t="s">
        <v>32</v>
      </c>
      <c r="D17" s="2" t="s">
        <v>39</v>
      </c>
      <c r="E17" s="4">
        <v>4</v>
      </c>
      <c r="F17" s="5">
        <v>216.28</v>
      </c>
      <c r="G17" s="5">
        <v>865.12</v>
      </c>
      <c r="H17" s="2" t="s">
        <v>12</v>
      </c>
      <c r="I17" s="2" t="s">
        <v>16</v>
      </c>
      <c r="J17" s="10" t="s">
        <v>25</v>
      </c>
    </row>
    <row r="18" spans="1:10" x14ac:dyDescent="0.3">
      <c r="A18" s="2">
        <v>10017</v>
      </c>
      <c r="B18" s="3">
        <v>46182.586880763767</v>
      </c>
      <c r="C18" s="2" t="s">
        <v>32</v>
      </c>
      <c r="D18" s="2" t="s">
        <v>39</v>
      </c>
      <c r="E18" s="4">
        <v>1</v>
      </c>
      <c r="F18" s="5">
        <v>388.96</v>
      </c>
      <c r="G18" s="5">
        <v>388.96</v>
      </c>
      <c r="H18" s="2" t="s">
        <v>19</v>
      </c>
      <c r="I18" s="2" t="s">
        <v>24</v>
      </c>
      <c r="J18" s="10" t="s">
        <v>25</v>
      </c>
    </row>
    <row r="19" spans="1:10" x14ac:dyDescent="0.3">
      <c r="A19" s="2">
        <v>10018</v>
      </c>
      <c r="B19" s="3">
        <v>46183.586880763767</v>
      </c>
      <c r="C19" s="2" t="s">
        <v>15</v>
      </c>
      <c r="D19" s="2" t="s">
        <v>39</v>
      </c>
      <c r="E19" s="4">
        <v>4</v>
      </c>
      <c r="F19" s="5">
        <v>175.05</v>
      </c>
      <c r="G19" s="5">
        <v>700.2</v>
      </c>
      <c r="H19" s="2" t="s">
        <v>30</v>
      </c>
      <c r="I19" s="2" t="s">
        <v>13</v>
      </c>
      <c r="J19" s="10" t="s">
        <v>40</v>
      </c>
    </row>
    <row r="20" spans="1:10" x14ac:dyDescent="0.3">
      <c r="A20" s="2">
        <v>10019</v>
      </c>
      <c r="B20" s="3">
        <v>46188.586880763767</v>
      </c>
      <c r="C20" s="2" t="s">
        <v>10</v>
      </c>
      <c r="D20" s="2" t="s">
        <v>29</v>
      </c>
      <c r="E20" s="4">
        <v>8</v>
      </c>
      <c r="F20" s="5">
        <v>40.64</v>
      </c>
      <c r="G20" s="5">
        <v>325.12</v>
      </c>
      <c r="H20" s="2" t="s">
        <v>41</v>
      </c>
      <c r="I20" s="2" t="s">
        <v>16</v>
      </c>
      <c r="J20" s="10" t="s">
        <v>17</v>
      </c>
    </row>
    <row r="21" spans="1:10" x14ac:dyDescent="0.3">
      <c r="A21" s="2">
        <v>10020</v>
      </c>
      <c r="B21" s="3">
        <v>46189.586880763767</v>
      </c>
      <c r="C21" s="2" t="s">
        <v>21</v>
      </c>
      <c r="D21" s="2" t="s">
        <v>39</v>
      </c>
      <c r="E21" s="4">
        <v>3</v>
      </c>
      <c r="F21" s="5">
        <v>407.64</v>
      </c>
      <c r="G21" s="5">
        <v>1222.92</v>
      </c>
      <c r="H21" s="2" t="s">
        <v>12</v>
      </c>
      <c r="I21" s="2" t="s">
        <v>20</v>
      </c>
      <c r="J21" s="10" t="s">
        <v>25</v>
      </c>
    </row>
    <row r="22" spans="1:10" x14ac:dyDescent="0.3">
      <c r="A22" s="2">
        <v>10021</v>
      </c>
      <c r="B22" s="3">
        <v>46192.586880763767</v>
      </c>
      <c r="C22" s="2" t="s">
        <v>28</v>
      </c>
      <c r="D22" s="2" t="s">
        <v>39</v>
      </c>
      <c r="E22" s="4">
        <v>4</v>
      </c>
      <c r="F22" s="5">
        <v>295.32</v>
      </c>
      <c r="G22" s="5">
        <v>1181.28</v>
      </c>
      <c r="H22" s="2" t="s">
        <v>41</v>
      </c>
      <c r="I22" s="2" t="s">
        <v>20</v>
      </c>
      <c r="J22" s="10" t="s">
        <v>17</v>
      </c>
    </row>
    <row r="23" spans="1:10" x14ac:dyDescent="0.3">
      <c r="A23" s="2">
        <v>10022</v>
      </c>
      <c r="B23" s="3">
        <v>46193.586880763767</v>
      </c>
      <c r="C23" s="2" t="s">
        <v>32</v>
      </c>
      <c r="D23" s="2" t="s">
        <v>22</v>
      </c>
      <c r="E23" s="4">
        <v>8</v>
      </c>
      <c r="F23" s="5">
        <v>332.76</v>
      </c>
      <c r="G23" s="5">
        <v>2662.08</v>
      </c>
      <c r="H23" s="2" t="s">
        <v>41</v>
      </c>
      <c r="I23" s="2" t="s">
        <v>27</v>
      </c>
      <c r="J23" s="10" t="s">
        <v>14</v>
      </c>
    </row>
    <row r="24" spans="1:10" x14ac:dyDescent="0.3">
      <c r="A24" s="2">
        <v>10023</v>
      </c>
      <c r="B24" s="3">
        <v>46200.586880763767</v>
      </c>
      <c r="C24" s="2" t="s">
        <v>42</v>
      </c>
      <c r="D24" s="2" t="s">
        <v>39</v>
      </c>
      <c r="E24" s="4">
        <v>4</v>
      </c>
      <c r="F24" s="5">
        <v>39.39</v>
      </c>
      <c r="G24" s="5">
        <v>157.56</v>
      </c>
      <c r="H24" s="2" t="s">
        <v>34</v>
      </c>
      <c r="I24" s="2" t="s">
        <v>13</v>
      </c>
      <c r="J24" s="10" t="s">
        <v>40</v>
      </c>
    </row>
    <row r="25" spans="1:10" x14ac:dyDescent="0.3">
      <c r="A25" s="2">
        <v>10024</v>
      </c>
      <c r="B25" s="3">
        <v>46200.586880763767</v>
      </c>
      <c r="C25" s="2" t="s">
        <v>28</v>
      </c>
      <c r="D25" s="2" t="s">
        <v>11</v>
      </c>
      <c r="E25" s="4">
        <v>3</v>
      </c>
      <c r="F25" s="5">
        <v>400.77</v>
      </c>
      <c r="G25" s="5">
        <v>1202.31</v>
      </c>
      <c r="H25" s="2" t="s">
        <v>41</v>
      </c>
      <c r="I25" s="2" t="s">
        <v>24</v>
      </c>
      <c r="J25" s="10" t="s">
        <v>40</v>
      </c>
    </row>
    <row r="26" spans="1:10" x14ac:dyDescent="0.3">
      <c r="B26" s="7"/>
      <c r="E26">
        <f>SUM(E2:E25)</f>
        <v>122</v>
      </c>
      <c r="F26" s="8">
        <f>AVERAGE(F2:F25)</f>
        <v>221.76374999999999</v>
      </c>
      <c r="G26" s="8">
        <f>MIN(G2:G25)</f>
        <v>109.16</v>
      </c>
    </row>
    <row r="27" spans="1:10" x14ac:dyDescent="0.3">
      <c r="G27" s="8">
        <f>MAX(G2:G25)</f>
        <v>3290.32</v>
      </c>
    </row>
  </sheetData>
  <conditionalFormatting sqref="A1:J27">
    <cfRule type="expression" dxfId="1" priority="1">
      <formula>$H1="South"</formula>
    </cfRule>
  </conditionalFormatting>
  <conditionalFormatting sqref="I1:I27">
    <cfRule type="containsText" dxfId="0" priority="2" operator="containsText" text="central">
      <formula>NOT(ISERROR(SEARCH("central",I1)))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Sales Data</vt:lpstr>
      <vt:lpstr>Sheet1</vt:lpstr>
      <vt:lpstr>Sheet2</vt:lpstr>
      <vt:lpstr>Sheet1!Criteria</vt:lpstr>
      <vt:lpstr>Sheet1!Extract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Anil Naik</cp:lastModifiedBy>
  <dcterms:created xsi:type="dcterms:W3CDTF">2026-07-08T14:05:06Z</dcterms:created>
  <dcterms:modified xsi:type="dcterms:W3CDTF">2026-08-21T16:38:43Z</dcterms:modified>
</cp:coreProperties>
</file>